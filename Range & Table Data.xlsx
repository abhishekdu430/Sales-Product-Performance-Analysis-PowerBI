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oida\New Batches\Power BI 5 PM\Datasets\"/>
    </mc:Choice>
  </mc:AlternateContent>
  <xr:revisionPtr revIDLastSave="0" documentId="13_ncr:1_{6A86F011-7B47-49C7-822A-ED9D1083D532}" xr6:coauthVersionLast="47" xr6:coauthVersionMax="47" xr10:uidLastSave="{00000000-0000-0000-0000-000000000000}"/>
  <bookViews>
    <workbookView xWindow="-108" yWindow="-108" windowWidth="20376" windowHeight="12096" activeTab="1" xr2:uid="{E2089DA7-EB27-43D1-982D-2A725A793B74}"/>
  </bookViews>
  <sheets>
    <sheet name="Sales data" sheetId="1" r:id="rId1"/>
    <sheet name="Emp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D9" i="1"/>
</calcChain>
</file>

<file path=xl/sharedStrings.xml><?xml version="1.0" encoding="utf-8"?>
<sst xmlns="http://schemas.openxmlformats.org/spreadsheetml/2006/main" count="399" uniqueCount="173">
  <si>
    <t>Product Name</t>
  </si>
  <si>
    <t>QTY</t>
  </si>
  <si>
    <t>Price Per Unit</t>
  </si>
  <si>
    <t>Pro 1</t>
  </si>
  <si>
    <t>Pro 2</t>
  </si>
  <si>
    <t>Pro 3</t>
  </si>
  <si>
    <t>Pro 4</t>
  </si>
  <si>
    <t>Pro 5</t>
  </si>
  <si>
    <t>Pro 6</t>
  </si>
  <si>
    <t>Pro 7</t>
  </si>
  <si>
    <t>Pro 8</t>
  </si>
  <si>
    <t>Pro 9</t>
  </si>
  <si>
    <t>Pro 10</t>
  </si>
  <si>
    <t>Pro 11</t>
  </si>
  <si>
    <t>Pro 12</t>
  </si>
  <si>
    <t>Pro 13</t>
  </si>
  <si>
    <t>Pro 14</t>
  </si>
  <si>
    <t>Pro 15</t>
  </si>
  <si>
    <t>Pro 16</t>
  </si>
  <si>
    <t>Pro 17</t>
  </si>
  <si>
    <t>Pro 18</t>
  </si>
  <si>
    <t>Pro 19</t>
  </si>
  <si>
    <t>Pro 20</t>
  </si>
  <si>
    <t>Pro 21</t>
  </si>
  <si>
    <t>Pro 22</t>
  </si>
  <si>
    <t>Pro 23</t>
  </si>
  <si>
    <t>Pro 24</t>
  </si>
  <si>
    <t>Pro 25</t>
  </si>
  <si>
    <t>Pro 26</t>
  </si>
  <si>
    <t>Pro 27</t>
  </si>
  <si>
    <t>Pro 28</t>
  </si>
  <si>
    <t>Pro 29</t>
  </si>
  <si>
    <t>Pro 30</t>
  </si>
  <si>
    <t>Pro 31</t>
  </si>
  <si>
    <t>Pro 32</t>
  </si>
  <si>
    <t>Pro 33</t>
  </si>
  <si>
    <t>Pro 34</t>
  </si>
  <si>
    <t>Pro 35</t>
  </si>
  <si>
    <t>Pro 36</t>
  </si>
  <si>
    <t>Pro 37</t>
  </si>
  <si>
    <t>Pro 38</t>
  </si>
  <si>
    <t>Pro 39</t>
  </si>
  <si>
    <t>Pro 40</t>
  </si>
  <si>
    <t>Pro 41</t>
  </si>
  <si>
    <t>Pro 42</t>
  </si>
  <si>
    <t>Pro 43</t>
  </si>
  <si>
    <t>Pro 44</t>
  </si>
  <si>
    <t>Pro 45</t>
  </si>
  <si>
    <t>Pro 46</t>
  </si>
  <si>
    <t>Pro 47</t>
  </si>
  <si>
    <t>Pro 48</t>
  </si>
  <si>
    <t>Pro 49</t>
  </si>
  <si>
    <t>Pro 50</t>
  </si>
  <si>
    <t>Total</t>
  </si>
  <si>
    <t>Column1</t>
  </si>
  <si>
    <t>Emp_Code</t>
  </si>
  <si>
    <t>Name</t>
  </si>
  <si>
    <t>Department</t>
  </si>
  <si>
    <t>Date Hired</t>
  </si>
  <si>
    <t>Location</t>
  </si>
  <si>
    <t>Country</t>
  </si>
  <si>
    <t>Gender</t>
  </si>
  <si>
    <t>Joining Year</t>
  </si>
  <si>
    <t>Office Type</t>
  </si>
  <si>
    <t>Monthly Sal</t>
  </si>
  <si>
    <t>Annual Sal</t>
  </si>
  <si>
    <t>A001</t>
  </si>
  <si>
    <t>Rob Verhoff</t>
  </si>
  <si>
    <t>Sales</t>
  </si>
  <si>
    <t>Victoria</t>
  </si>
  <si>
    <t>Australia</t>
  </si>
  <si>
    <t>Female</t>
  </si>
  <si>
    <t>Nodal Branch</t>
  </si>
  <si>
    <t>A002</t>
  </si>
  <si>
    <t>Shadow Elizabeth</t>
  </si>
  <si>
    <t>Operation</t>
  </si>
  <si>
    <t>Tasmania</t>
  </si>
  <si>
    <t>A003</t>
  </si>
  <si>
    <t>Ian Jenkins</t>
  </si>
  <si>
    <t>Finance</t>
  </si>
  <si>
    <t>Oregon</t>
  </si>
  <si>
    <t>United States</t>
  </si>
  <si>
    <t>A004</t>
  </si>
  <si>
    <t>Shila Rani</t>
  </si>
  <si>
    <t>Kolkata</t>
  </si>
  <si>
    <t>India</t>
  </si>
  <si>
    <t>Head Office</t>
  </si>
  <si>
    <t>A005</t>
  </si>
  <si>
    <t>Ruben Torres</t>
  </si>
  <si>
    <t>Management</t>
  </si>
  <si>
    <t>Zonal</t>
  </si>
  <si>
    <t>A006</t>
  </si>
  <si>
    <t>Marco Mehta</t>
  </si>
  <si>
    <t>IT</t>
  </si>
  <si>
    <t>A007</t>
  </si>
  <si>
    <t>Mohit Dhinghra</t>
  </si>
  <si>
    <t>Delhi</t>
  </si>
  <si>
    <t>Male</t>
  </si>
  <si>
    <t>A008</t>
  </si>
  <si>
    <t>Tom Brown</t>
  </si>
  <si>
    <t>Production</t>
  </si>
  <si>
    <t>California</t>
  </si>
  <si>
    <t>A009</t>
  </si>
  <si>
    <t>Janet Alvarez</t>
  </si>
  <si>
    <t>New South Wales</t>
  </si>
  <si>
    <t>A010</t>
  </si>
  <si>
    <t>Lauren Walker</t>
  </si>
  <si>
    <t>Washington</t>
  </si>
  <si>
    <t>A011</t>
  </si>
  <si>
    <t>Gurmeet Singh</t>
  </si>
  <si>
    <t>Marketing</t>
  </si>
  <si>
    <t>A012</t>
  </si>
  <si>
    <t>Vinod Adwani</t>
  </si>
  <si>
    <t>A013</t>
  </si>
  <si>
    <t>Jon Yang</t>
  </si>
  <si>
    <t>Queensland</t>
  </si>
  <si>
    <t>A014</t>
  </si>
  <si>
    <t>Sydney Bennett</t>
  </si>
  <si>
    <t>A015</t>
  </si>
  <si>
    <t>Julio Ruiz</t>
  </si>
  <si>
    <t>A016</t>
  </si>
  <si>
    <t>Rajesh Kumar</t>
  </si>
  <si>
    <t>A017</t>
  </si>
  <si>
    <t>Md. Naveed Ahmed</t>
  </si>
  <si>
    <t>A018</t>
  </si>
  <si>
    <t>Krishna Dev</t>
  </si>
  <si>
    <t>A019</t>
  </si>
  <si>
    <t>Km. Ranjita</t>
  </si>
  <si>
    <t>Mumbai</t>
  </si>
  <si>
    <t>A020</t>
  </si>
  <si>
    <t>Ravinder Pawar</t>
  </si>
  <si>
    <t>A021</t>
  </si>
  <si>
    <t>Mohan Singh</t>
  </si>
  <si>
    <t>A022</t>
  </si>
  <si>
    <t>Chloe Young</t>
  </si>
  <si>
    <t>A023</t>
  </si>
  <si>
    <t>Kishore Kumar Lalit</t>
  </si>
  <si>
    <t>A024</t>
  </si>
  <si>
    <t>Jacquelyn Suarez</t>
  </si>
  <si>
    <t>A025</t>
  </si>
  <si>
    <t>Rajan Kishore</t>
  </si>
  <si>
    <t>A026</t>
  </si>
  <si>
    <t>Elizabeth Johnson</t>
  </si>
  <si>
    <t>A027</t>
  </si>
  <si>
    <t>Smith Jane</t>
  </si>
  <si>
    <t>British Columbia</t>
  </si>
  <si>
    <t>Canada</t>
  </si>
  <si>
    <t>A028</t>
  </si>
  <si>
    <t>Shannon Carlson</t>
  </si>
  <si>
    <t>A029</t>
  </si>
  <si>
    <t>Christy Zhu</t>
  </si>
  <si>
    <t>A030</t>
  </si>
  <si>
    <t>Eugene Huang</t>
  </si>
  <si>
    <t>A031</t>
  </si>
  <si>
    <t>Rajiv Kalra</t>
  </si>
  <si>
    <t>A032</t>
  </si>
  <si>
    <t>Sharvana Jain</t>
  </si>
  <si>
    <t>A033</t>
  </si>
  <si>
    <t>Curtis Lu</t>
  </si>
  <si>
    <t>A034</t>
  </si>
  <si>
    <t>Rajkumar Verma</t>
  </si>
  <si>
    <t>A035</t>
  </si>
  <si>
    <t>Rajkishor Gupta</t>
  </si>
  <si>
    <t>A036</t>
  </si>
  <si>
    <t>Chinmay Singh</t>
  </si>
  <si>
    <t>A037</t>
  </si>
  <si>
    <t>Potter Betty</t>
  </si>
  <si>
    <t>A038</t>
  </si>
  <si>
    <t>Sonu Baweja</t>
  </si>
  <si>
    <t>A039</t>
  </si>
  <si>
    <t>Doe John</t>
  </si>
  <si>
    <t>A040</t>
  </si>
  <si>
    <t>Vibhore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</si>
</sst>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8" fontId="0" fillId="0" borderId="0" xfId="0" applyNumberFormat="1"/>
    <xf numFmtId="0" fontId="4" fillId="3" borderId="1" xfId="0" applyFont="1" applyFill="1" applyBorder="1"/>
    <xf numFmtId="14" fontId="5" fillId="3" borderId="1" xfId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5" fillId="3" borderId="1" xfId="1" applyNumberFormat="1" applyFont="1" applyFill="1" applyBorder="1" applyAlignment="1">
      <alignment horizontal="center"/>
    </xf>
    <xf numFmtId="14" fontId="5" fillId="0" borderId="1" xfId="1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5" fillId="0" borderId="2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0" fontId="3" fillId="2" borderId="1" xfId="1" applyNumberFormat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0" fontId="5" fillId="3" borderId="1" xfId="1" applyNumberFormat="1" applyFont="1" applyFill="1" applyBorder="1" applyAlignment="1"/>
    <xf numFmtId="164" fontId="5" fillId="3" borderId="4" xfId="1" applyNumberFormat="1" applyFont="1" applyFill="1" applyBorder="1" applyAlignment="1">
      <alignment horizontal="center"/>
    </xf>
    <xf numFmtId="0" fontId="5" fillId="0" borderId="1" xfId="1" applyNumberFormat="1" applyFont="1" applyBorder="1" applyAlignment="1"/>
    <xf numFmtId="0" fontId="5" fillId="0" borderId="1" xfId="1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"/>
    </xf>
    <xf numFmtId="0" fontId="5" fillId="3" borderId="1" xfId="1" applyNumberFormat="1" applyFont="1" applyFill="1" applyBorder="1" applyAlignment="1">
      <alignment horizontal="center"/>
    </xf>
    <xf numFmtId="0" fontId="4" fillId="3" borderId="3" xfId="0" applyFont="1" applyFill="1" applyBorder="1"/>
    <xf numFmtId="0" fontId="5" fillId="0" borderId="2" xfId="1" applyNumberFormat="1" applyFont="1" applyBorder="1" applyAlignment="1"/>
    <xf numFmtId="0" fontId="5" fillId="0" borderId="2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</cellXfs>
  <cellStyles count="2">
    <cellStyle name="Normal" xfId="0" builtinId="0"/>
    <cellStyle name="Normal 2 2" xfId="1" xr:uid="{73629497-1785-4563-96E6-B6B24913C1EE}"/>
  </cellStyles>
  <dxfs count="3">
    <dxf>
      <fill>
        <patternFill>
          <bgColor rgb="FF0070C0"/>
        </patternFill>
      </fill>
    </dxf>
    <dxf>
      <numFmt numFmtId="12" formatCode="&quot;₹&quot;\ #,##0.00;[Red]&quot;₹&quot;\ \-#,##0.00"/>
    </dxf>
    <dxf>
      <numFmt numFmtId="12" formatCode="&quot;₹&quot;\ #,##0.00;[Red]&quot;₹&quot;\ 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8BABD-076C-4BF2-BAAD-D272F8E7BDDE}" name="MyTestData" displayName="MyTestData" ref="H1:K51" totalsRowShown="0">
  <autoFilter ref="H1:K51" xr:uid="{CDD8BABD-076C-4BF2-BAAD-D272F8E7BDDE}"/>
  <tableColumns count="4">
    <tableColumn id="1" xr3:uid="{2775B2B8-F794-40EF-A9C5-EC3634860469}" name="Product Name"/>
    <tableColumn id="2" xr3:uid="{C542D11C-5428-4CE3-A36C-B525E11889C7}" name="QTY"/>
    <tableColumn id="3" xr3:uid="{E7258AEC-7B0F-493A-AA20-211351182AF7}" name="Price Per Unit" dataDxfId="2"/>
    <tableColumn id="4" xr3:uid="{E6D5A6BA-8A8A-4B32-A089-DAF0D149D298}" name="Column1" dataDxfId="1">
      <calculatedColumnFormula>MyTestData[[#This Row],[QTY]]*MyTestData[[#This Row],[Price Per Unit]]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E410-F3CF-4892-8A18-9D0FB6D5D090}">
  <dimension ref="A1:K51"/>
  <sheetViews>
    <sheetView zoomScale="130" zoomScaleNormal="130" workbookViewId="0">
      <selection activeCell="K10" sqref="K10"/>
    </sheetView>
  </sheetViews>
  <sheetFormatPr defaultRowHeight="14.4" x14ac:dyDescent="0.3"/>
  <cols>
    <col min="1" max="1" width="12.5546875" bestFit="1" customWidth="1"/>
    <col min="3" max="3" width="11.88671875" bestFit="1" customWidth="1"/>
    <col min="4" max="4" width="9.44140625" bestFit="1" customWidth="1"/>
    <col min="8" max="8" width="14.33203125" customWidth="1"/>
    <col min="10" max="10" width="13.6640625" customWidth="1"/>
    <col min="11" max="11" width="10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53</v>
      </c>
      <c r="H1" t="s">
        <v>0</v>
      </c>
      <c r="I1" t="s">
        <v>1</v>
      </c>
      <c r="J1" t="s">
        <v>2</v>
      </c>
      <c r="K1" t="s">
        <v>54</v>
      </c>
    </row>
    <row r="2" spans="1:11" x14ac:dyDescent="0.3">
      <c r="A2" t="s">
        <v>3</v>
      </c>
      <c r="B2">
        <v>12</v>
      </c>
      <c r="C2" s="1">
        <v>854.75</v>
      </c>
      <c r="H2" t="s">
        <v>3</v>
      </c>
      <c r="I2">
        <v>12</v>
      </c>
      <c r="J2" s="1">
        <v>854.75</v>
      </c>
      <c r="K2" s="1">
        <f>MyTestData[[#This Row],[QTY]]*MyTestData[[#This Row],[Price Per Unit]]</f>
        <v>10257</v>
      </c>
    </row>
    <row r="3" spans="1:11" x14ac:dyDescent="0.3">
      <c r="A3" t="s">
        <v>4</v>
      </c>
      <c r="B3">
        <v>17</v>
      </c>
      <c r="C3" s="1">
        <v>990.02</v>
      </c>
      <c r="H3" t="s">
        <v>4</v>
      </c>
      <c r="I3">
        <v>17</v>
      </c>
      <c r="J3" s="1">
        <v>990.02</v>
      </c>
      <c r="K3" s="1">
        <f>MyTestData[[#This Row],[QTY]]*MyTestData[[#This Row],[Price Per Unit]]</f>
        <v>16830.34</v>
      </c>
    </row>
    <row r="4" spans="1:11" x14ac:dyDescent="0.3">
      <c r="A4" t="s">
        <v>5</v>
      </c>
      <c r="B4">
        <v>54</v>
      </c>
      <c r="C4" s="1">
        <v>745.05</v>
      </c>
      <c r="H4" t="s">
        <v>5</v>
      </c>
      <c r="I4">
        <v>54</v>
      </c>
      <c r="J4" s="1">
        <v>745.05</v>
      </c>
      <c r="K4" s="1">
        <f>MyTestData[[#This Row],[QTY]]*MyTestData[[#This Row],[Price Per Unit]]</f>
        <v>40232.699999999997</v>
      </c>
    </row>
    <row r="5" spans="1:11" x14ac:dyDescent="0.3">
      <c r="A5" t="s">
        <v>6</v>
      </c>
      <c r="B5">
        <v>5</v>
      </c>
      <c r="C5" s="1">
        <v>102.73</v>
      </c>
      <c r="H5" t="s">
        <v>6</v>
      </c>
      <c r="I5">
        <v>5</v>
      </c>
      <c r="J5" s="1">
        <v>102.73</v>
      </c>
      <c r="K5" s="1">
        <f>MyTestData[[#This Row],[QTY]]*MyTestData[[#This Row],[Price Per Unit]]</f>
        <v>513.65</v>
      </c>
    </row>
    <row r="6" spans="1:11" x14ac:dyDescent="0.3">
      <c r="A6" t="s">
        <v>7</v>
      </c>
      <c r="B6">
        <v>42</v>
      </c>
      <c r="C6" s="1">
        <v>682.09</v>
      </c>
      <c r="H6" t="s">
        <v>7</v>
      </c>
      <c r="I6">
        <v>42</v>
      </c>
      <c r="J6" s="1">
        <v>682.09</v>
      </c>
      <c r="K6" s="1">
        <f>MyTestData[[#This Row],[QTY]]*MyTestData[[#This Row],[Price Per Unit]]</f>
        <v>28647.780000000002</v>
      </c>
    </row>
    <row r="7" spans="1:11" x14ac:dyDescent="0.3">
      <c r="A7" t="s">
        <v>8</v>
      </c>
      <c r="B7">
        <v>85</v>
      </c>
      <c r="C7" s="1">
        <v>834.32</v>
      </c>
      <c r="H7" t="s">
        <v>8</v>
      </c>
      <c r="I7">
        <v>85</v>
      </c>
      <c r="J7" s="1">
        <v>834.32</v>
      </c>
      <c r="K7" s="1">
        <f>MyTestData[[#This Row],[QTY]]*MyTestData[[#This Row],[Price Per Unit]]</f>
        <v>70917.2</v>
      </c>
    </row>
    <row r="8" spans="1:11" x14ac:dyDescent="0.3">
      <c r="A8" t="s">
        <v>9</v>
      </c>
      <c r="B8">
        <v>59</v>
      </c>
      <c r="C8" s="1">
        <v>724.08</v>
      </c>
      <c r="H8" t="s">
        <v>9</v>
      </c>
      <c r="I8">
        <v>59</v>
      </c>
      <c r="J8" s="1">
        <v>724.08</v>
      </c>
      <c r="K8" s="1">
        <f>MyTestData[[#This Row],[QTY]]*MyTestData[[#This Row],[Price Per Unit]]</f>
        <v>42720.72</v>
      </c>
    </row>
    <row r="9" spans="1:11" x14ac:dyDescent="0.3">
      <c r="A9" t="s">
        <v>10</v>
      </c>
      <c r="B9">
        <v>5</v>
      </c>
      <c r="C9" s="1">
        <v>876.35</v>
      </c>
      <c r="D9" s="1">
        <f>B9*C9</f>
        <v>4381.75</v>
      </c>
      <c r="H9" t="s">
        <v>10</v>
      </c>
      <c r="I9">
        <v>5</v>
      </c>
      <c r="J9" s="1">
        <v>876.35</v>
      </c>
      <c r="K9" s="1">
        <f>MyTestData[[#This Row],[QTY]]*MyTestData[[#This Row],[Price Per Unit]]</f>
        <v>4381.75</v>
      </c>
    </row>
    <row r="10" spans="1:11" x14ac:dyDescent="0.3">
      <c r="A10" t="s">
        <v>11</v>
      </c>
      <c r="B10">
        <v>78</v>
      </c>
      <c r="C10" s="1">
        <v>101.89</v>
      </c>
      <c r="H10" t="s">
        <v>11</v>
      </c>
      <c r="I10">
        <v>78</v>
      </c>
      <c r="J10" s="1">
        <v>101.89</v>
      </c>
      <c r="K10" s="1">
        <f>MyTestData[[#This Row],[QTY]]*MyTestData[[#This Row],[Price Per Unit]]</f>
        <v>7947.42</v>
      </c>
    </row>
    <row r="11" spans="1:11" x14ac:dyDescent="0.3">
      <c r="A11" t="s">
        <v>12</v>
      </c>
      <c r="B11">
        <v>43</v>
      </c>
      <c r="C11" s="1">
        <v>169.31</v>
      </c>
      <c r="H11" t="s">
        <v>12</v>
      </c>
      <c r="I11">
        <v>43</v>
      </c>
      <c r="J11" s="1">
        <v>169.31</v>
      </c>
      <c r="K11" s="1">
        <f>MyTestData[[#This Row],[QTY]]*MyTestData[[#This Row],[Price Per Unit]]</f>
        <v>7280.33</v>
      </c>
    </row>
    <row r="12" spans="1:11" x14ac:dyDescent="0.3">
      <c r="A12" t="s">
        <v>13</v>
      </c>
      <c r="B12">
        <v>92</v>
      </c>
      <c r="C12" s="1">
        <v>865.29</v>
      </c>
      <c r="H12" t="s">
        <v>13</v>
      </c>
      <c r="I12">
        <v>92</v>
      </c>
      <c r="J12" s="1">
        <v>865.29</v>
      </c>
      <c r="K12" s="1">
        <f>MyTestData[[#This Row],[QTY]]*MyTestData[[#This Row],[Price Per Unit]]</f>
        <v>79606.679999999993</v>
      </c>
    </row>
    <row r="13" spans="1:11" x14ac:dyDescent="0.3">
      <c r="A13" t="s">
        <v>14</v>
      </c>
      <c r="B13">
        <v>52</v>
      </c>
      <c r="C13" s="1">
        <v>854.53</v>
      </c>
      <c r="H13" t="s">
        <v>14</v>
      </c>
      <c r="I13">
        <v>52</v>
      </c>
      <c r="J13" s="1">
        <v>854.53</v>
      </c>
      <c r="K13" s="1">
        <f>MyTestData[[#This Row],[QTY]]*MyTestData[[#This Row],[Price Per Unit]]</f>
        <v>44435.56</v>
      </c>
    </row>
    <row r="14" spans="1:11" x14ac:dyDescent="0.3">
      <c r="A14" t="s">
        <v>15</v>
      </c>
      <c r="B14">
        <v>56</v>
      </c>
      <c r="C14" s="1">
        <v>517.48</v>
      </c>
      <c r="H14" t="s">
        <v>15</v>
      </c>
      <c r="I14">
        <v>56</v>
      </c>
      <c r="J14" s="1">
        <v>517.48</v>
      </c>
      <c r="K14" s="1">
        <f>MyTestData[[#This Row],[QTY]]*MyTestData[[#This Row],[Price Per Unit]]</f>
        <v>28978.880000000001</v>
      </c>
    </row>
    <row r="15" spans="1:11" x14ac:dyDescent="0.3">
      <c r="A15" t="s">
        <v>16</v>
      </c>
      <c r="B15">
        <v>22</v>
      </c>
      <c r="C15" s="1">
        <v>142.13</v>
      </c>
      <c r="H15" t="s">
        <v>16</v>
      </c>
      <c r="I15">
        <v>22</v>
      </c>
      <c r="J15" s="1">
        <v>142.13</v>
      </c>
      <c r="K15" s="1">
        <f>MyTestData[[#This Row],[QTY]]*MyTestData[[#This Row],[Price Per Unit]]</f>
        <v>3126.8599999999997</v>
      </c>
    </row>
    <row r="16" spans="1:11" x14ac:dyDescent="0.3">
      <c r="A16" t="s">
        <v>17</v>
      </c>
      <c r="B16">
        <v>76</v>
      </c>
      <c r="C16" s="1">
        <v>281.45999999999998</v>
      </c>
      <c r="H16" t="s">
        <v>17</v>
      </c>
      <c r="I16">
        <v>76</v>
      </c>
      <c r="J16" s="1">
        <v>281.45999999999998</v>
      </c>
      <c r="K16" s="1">
        <f>MyTestData[[#This Row],[QTY]]*MyTestData[[#This Row],[Price Per Unit]]</f>
        <v>21390.959999999999</v>
      </c>
    </row>
    <row r="17" spans="1:11" x14ac:dyDescent="0.3">
      <c r="A17" t="s">
        <v>18</v>
      </c>
      <c r="B17">
        <v>9</v>
      </c>
      <c r="C17" s="1">
        <v>382.8</v>
      </c>
      <c r="H17" t="s">
        <v>18</v>
      </c>
      <c r="I17">
        <v>9</v>
      </c>
      <c r="J17" s="1">
        <v>382.8</v>
      </c>
      <c r="K17" s="1">
        <f>MyTestData[[#This Row],[QTY]]*MyTestData[[#This Row],[Price Per Unit]]</f>
        <v>3445.2000000000003</v>
      </c>
    </row>
    <row r="18" spans="1:11" x14ac:dyDescent="0.3">
      <c r="A18" t="s">
        <v>19</v>
      </c>
      <c r="B18">
        <v>25</v>
      </c>
      <c r="C18" s="1">
        <v>517.34</v>
      </c>
      <c r="H18" t="s">
        <v>19</v>
      </c>
      <c r="I18">
        <v>25</v>
      </c>
      <c r="J18" s="1">
        <v>517.34</v>
      </c>
      <c r="K18" s="1">
        <f>MyTestData[[#This Row],[QTY]]*MyTestData[[#This Row],[Price Per Unit]]</f>
        <v>12933.5</v>
      </c>
    </row>
    <row r="19" spans="1:11" x14ac:dyDescent="0.3">
      <c r="A19" t="s">
        <v>20</v>
      </c>
      <c r="B19">
        <v>66</v>
      </c>
      <c r="C19" s="1">
        <v>742.77</v>
      </c>
      <c r="H19" t="s">
        <v>20</v>
      </c>
      <c r="I19">
        <v>66</v>
      </c>
      <c r="J19" s="1">
        <v>742.77</v>
      </c>
      <c r="K19" s="1">
        <f>MyTestData[[#This Row],[QTY]]*MyTestData[[#This Row],[Price Per Unit]]</f>
        <v>49022.82</v>
      </c>
    </row>
    <row r="20" spans="1:11" x14ac:dyDescent="0.3">
      <c r="A20" t="s">
        <v>21</v>
      </c>
      <c r="B20">
        <v>63</v>
      </c>
      <c r="C20" s="1">
        <v>1000.32</v>
      </c>
      <c r="H20" t="s">
        <v>21</v>
      </c>
      <c r="I20">
        <v>63</v>
      </c>
      <c r="J20" s="1">
        <v>1000.32</v>
      </c>
      <c r="K20" s="1">
        <f>MyTestData[[#This Row],[QTY]]*MyTestData[[#This Row],[Price Per Unit]]</f>
        <v>63020.160000000003</v>
      </c>
    </row>
    <row r="21" spans="1:11" x14ac:dyDescent="0.3">
      <c r="A21" t="s">
        <v>22</v>
      </c>
      <c r="B21">
        <v>89</v>
      </c>
      <c r="C21" s="1">
        <v>645.99</v>
      </c>
      <c r="H21" t="s">
        <v>22</v>
      </c>
      <c r="I21">
        <v>89</v>
      </c>
      <c r="J21" s="1">
        <v>645.99</v>
      </c>
      <c r="K21" s="1">
        <f>MyTestData[[#This Row],[QTY]]*MyTestData[[#This Row],[Price Per Unit]]</f>
        <v>57493.11</v>
      </c>
    </row>
    <row r="22" spans="1:11" x14ac:dyDescent="0.3">
      <c r="A22" t="s">
        <v>23</v>
      </c>
      <c r="B22">
        <v>41</v>
      </c>
      <c r="C22" s="1">
        <v>109.51</v>
      </c>
      <c r="H22" t="s">
        <v>23</v>
      </c>
      <c r="I22">
        <v>41</v>
      </c>
      <c r="J22" s="1">
        <v>109.51</v>
      </c>
      <c r="K22" s="1">
        <f>MyTestData[[#This Row],[QTY]]*MyTestData[[#This Row],[Price Per Unit]]</f>
        <v>4489.91</v>
      </c>
    </row>
    <row r="23" spans="1:11" x14ac:dyDescent="0.3">
      <c r="A23" t="s">
        <v>24</v>
      </c>
      <c r="B23">
        <v>75</v>
      </c>
      <c r="C23" s="1">
        <v>767.2</v>
      </c>
      <c r="H23" t="s">
        <v>24</v>
      </c>
      <c r="I23">
        <v>75</v>
      </c>
      <c r="J23" s="1">
        <v>767.2</v>
      </c>
      <c r="K23" s="1">
        <f>MyTestData[[#This Row],[QTY]]*MyTestData[[#This Row],[Price Per Unit]]</f>
        <v>57540</v>
      </c>
    </row>
    <row r="24" spans="1:11" x14ac:dyDescent="0.3">
      <c r="A24" t="s">
        <v>25</v>
      </c>
      <c r="B24">
        <v>5</v>
      </c>
      <c r="C24" s="1">
        <v>130.72999999999999</v>
      </c>
      <c r="H24" t="s">
        <v>25</v>
      </c>
      <c r="I24">
        <v>5</v>
      </c>
      <c r="J24" s="1">
        <v>130.72999999999999</v>
      </c>
      <c r="K24" s="1">
        <f>MyTestData[[#This Row],[QTY]]*MyTestData[[#This Row],[Price Per Unit]]</f>
        <v>653.65</v>
      </c>
    </row>
    <row r="25" spans="1:11" x14ac:dyDescent="0.3">
      <c r="A25" t="s">
        <v>26</v>
      </c>
      <c r="B25">
        <v>6</v>
      </c>
      <c r="C25" s="1">
        <v>927.42</v>
      </c>
      <c r="H25" t="s">
        <v>26</v>
      </c>
      <c r="I25">
        <v>6</v>
      </c>
      <c r="J25" s="1">
        <v>927.42</v>
      </c>
      <c r="K25" s="1">
        <f>MyTestData[[#This Row],[QTY]]*MyTestData[[#This Row],[Price Per Unit]]</f>
        <v>5564.5199999999995</v>
      </c>
    </row>
    <row r="26" spans="1:11" x14ac:dyDescent="0.3">
      <c r="A26" t="s">
        <v>27</v>
      </c>
      <c r="B26">
        <v>37</v>
      </c>
      <c r="C26" s="1">
        <v>475.58</v>
      </c>
      <c r="H26" t="s">
        <v>27</v>
      </c>
      <c r="I26">
        <v>37</v>
      </c>
      <c r="J26" s="1">
        <v>475.58</v>
      </c>
      <c r="K26" s="1">
        <f>MyTestData[[#This Row],[QTY]]*MyTestData[[#This Row],[Price Per Unit]]</f>
        <v>17596.46</v>
      </c>
    </row>
    <row r="27" spans="1:11" x14ac:dyDescent="0.3">
      <c r="A27" t="s">
        <v>28</v>
      </c>
      <c r="B27">
        <v>92</v>
      </c>
      <c r="C27" s="1">
        <v>554.66</v>
      </c>
      <c r="H27" t="s">
        <v>28</v>
      </c>
      <c r="I27">
        <v>92</v>
      </c>
      <c r="J27" s="1">
        <v>554.66</v>
      </c>
      <c r="K27" s="1">
        <f>MyTestData[[#This Row],[QTY]]*MyTestData[[#This Row],[Price Per Unit]]</f>
        <v>51028.719999999994</v>
      </c>
    </row>
    <row r="28" spans="1:11" x14ac:dyDescent="0.3">
      <c r="A28" t="s">
        <v>29</v>
      </c>
      <c r="B28">
        <v>33</v>
      </c>
      <c r="C28" s="1">
        <v>898.31</v>
      </c>
      <c r="H28" t="s">
        <v>29</v>
      </c>
      <c r="I28">
        <v>33</v>
      </c>
      <c r="J28" s="1">
        <v>898.31</v>
      </c>
      <c r="K28" s="1">
        <f>MyTestData[[#This Row],[QTY]]*MyTestData[[#This Row],[Price Per Unit]]</f>
        <v>29644.23</v>
      </c>
    </row>
    <row r="29" spans="1:11" x14ac:dyDescent="0.3">
      <c r="A29" t="s">
        <v>30</v>
      </c>
      <c r="B29">
        <v>12</v>
      </c>
      <c r="C29" s="1">
        <v>389.04</v>
      </c>
      <c r="H29" t="s">
        <v>30</v>
      </c>
      <c r="I29">
        <v>12</v>
      </c>
      <c r="J29" s="1">
        <v>389.04</v>
      </c>
      <c r="K29" s="1">
        <f>MyTestData[[#This Row],[QTY]]*MyTestData[[#This Row],[Price Per Unit]]</f>
        <v>4668.4800000000005</v>
      </c>
    </row>
    <row r="30" spans="1:11" x14ac:dyDescent="0.3">
      <c r="A30" t="s">
        <v>31</v>
      </c>
      <c r="B30">
        <v>25</v>
      </c>
      <c r="C30" s="1">
        <v>610.53</v>
      </c>
      <c r="H30" t="s">
        <v>31</v>
      </c>
      <c r="I30">
        <v>25</v>
      </c>
      <c r="J30" s="1">
        <v>610.53</v>
      </c>
      <c r="K30" s="1">
        <f>MyTestData[[#This Row],[QTY]]*MyTestData[[#This Row],[Price Per Unit]]</f>
        <v>15263.25</v>
      </c>
    </row>
    <row r="31" spans="1:11" x14ac:dyDescent="0.3">
      <c r="A31" t="s">
        <v>32</v>
      </c>
      <c r="B31">
        <v>61</v>
      </c>
      <c r="C31" s="1">
        <v>439.94</v>
      </c>
      <c r="H31" t="s">
        <v>32</v>
      </c>
      <c r="I31">
        <v>61</v>
      </c>
      <c r="J31" s="1">
        <v>439.94</v>
      </c>
      <c r="K31" s="1">
        <f>MyTestData[[#This Row],[QTY]]*MyTestData[[#This Row],[Price Per Unit]]</f>
        <v>26836.34</v>
      </c>
    </row>
    <row r="32" spans="1:11" x14ac:dyDescent="0.3">
      <c r="A32" t="s">
        <v>33</v>
      </c>
      <c r="B32">
        <v>43</v>
      </c>
      <c r="C32" s="1">
        <v>910.91</v>
      </c>
      <c r="H32" t="s">
        <v>33</v>
      </c>
      <c r="I32">
        <v>43</v>
      </c>
      <c r="J32" s="1">
        <v>910.91</v>
      </c>
      <c r="K32" s="1">
        <f>MyTestData[[#This Row],[QTY]]*MyTestData[[#This Row],[Price Per Unit]]</f>
        <v>39169.129999999997</v>
      </c>
    </row>
    <row r="33" spans="1:11" x14ac:dyDescent="0.3">
      <c r="A33" t="s">
        <v>34</v>
      </c>
      <c r="B33">
        <v>27</v>
      </c>
      <c r="C33" s="1">
        <v>394.13</v>
      </c>
      <c r="H33" t="s">
        <v>34</v>
      </c>
      <c r="I33">
        <v>27</v>
      </c>
      <c r="J33" s="1">
        <v>394.13</v>
      </c>
      <c r="K33" s="1">
        <f>MyTestData[[#This Row],[QTY]]*MyTestData[[#This Row],[Price Per Unit]]</f>
        <v>10641.51</v>
      </c>
    </row>
    <row r="34" spans="1:11" x14ac:dyDescent="0.3">
      <c r="A34" t="s">
        <v>35</v>
      </c>
      <c r="B34">
        <v>25</v>
      </c>
      <c r="C34" s="1">
        <v>520.55999999999995</v>
      </c>
      <c r="H34" t="s">
        <v>35</v>
      </c>
      <c r="I34">
        <v>25</v>
      </c>
      <c r="J34" s="1">
        <v>520.55999999999995</v>
      </c>
      <c r="K34" s="1">
        <f>MyTestData[[#This Row],[QTY]]*MyTestData[[#This Row],[Price Per Unit]]</f>
        <v>13013.999999999998</v>
      </c>
    </row>
    <row r="35" spans="1:11" x14ac:dyDescent="0.3">
      <c r="A35" t="s">
        <v>36</v>
      </c>
      <c r="B35">
        <v>62</v>
      </c>
      <c r="C35" s="1">
        <v>365.9</v>
      </c>
      <c r="H35" t="s">
        <v>36</v>
      </c>
      <c r="I35">
        <v>62</v>
      </c>
      <c r="J35" s="1">
        <v>365.9</v>
      </c>
      <c r="K35" s="1">
        <f>MyTestData[[#This Row],[QTY]]*MyTestData[[#This Row],[Price Per Unit]]</f>
        <v>22685.8</v>
      </c>
    </row>
    <row r="36" spans="1:11" x14ac:dyDescent="0.3">
      <c r="A36" t="s">
        <v>37</v>
      </c>
      <c r="B36">
        <v>52</v>
      </c>
      <c r="C36" s="1">
        <v>385</v>
      </c>
      <c r="H36" t="s">
        <v>37</v>
      </c>
      <c r="I36">
        <v>52</v>
      </c>
      <c r="J36" s="1">
        <v>385</v>
      </c>
      <c r="K36" s="1">
        <f>MyTestData[[#This Row],[QTY]]*MyTestData[[#This Row],[Price Per Unit]]</f>
        <v>20020</v>
      </c>
    </row>
    <row r="37" spans="1:11" x14ac:dyDescent="0.3">
      <c r="A37" t="s">
        <v>38</v>
      </c>
      <c r="B37">
        <v>52</v>
      </c>
      <c r="C37" s="1">
        <v>543.07000000000005</v>
      </c>
      <c r="H37" t="s">
        <v>38</v>
      </c>
      <c r="I37">
        <v>52</v>
      </c>
      <c r="J37" s="1">
        <v>543.07000000000005</v>
      </c>
      <c r="K37" s="1">
        <f>MyTestData[[#This Row],[QTY]]*MyTestData[[#This Row],[Price Per Unit]]</f>
        <v>28239.640000000003</v>
      </c>
    </row>
    <row r="38" spans="1:11" x14ac:dyDescent="0.3">
      <c r="A38" t="s">
        <v>39</v>
      </c>
      <c r="B38">
        <v>13</v>
      </c>
      <c r="C38" s="1">
        <v>160.26</v>
      </c>
      <c r="H38" t="s">
        <v>39</v>
      </c>
      <c r="I38">
        <v>13</v>
      </c>
      <c r="J38" s="1">
        <v>160.26</v>
      </c>
      <c r="K38" s="1">
        <f>MyTestData[[#This Row],[QTY]]*MyTestData[[#This Row],[Price Per Unit]]</f>
        <v>2083.38</v>
      </c>
    </row>
    <row r="39" spans="1:11" x14ac:dyDescent="0.3">
      <c r="A39" t="s">
        <v>40</v>
      </c>
      <c r="B39">
        <v>8</v>
      </c>
      <c r="C39" s="1">
        <v>831.35</v>
      </c>
      <c r="H39" t="s">
        <v>40</v>
      </c>
      <c r="I39">
        <v>8</v>
      </c>
      <c r="J39" s="1">
        <v>831.35</v>
      </c>
      <c r="K39" s="1">
        <f>MyTestData[[#This Row],[QTY]]*MyTestData[[#This Row],[Price Per Unit]]</f>
        <v>6650.8</v>
      </c>
    </row>
    <row r="40" spans="1:11" x14ac:dyDescent="0.3">
      <c r="A40" t="s">
        <v>41</v>
      </c>
      <c r="B40">
        <v>95</v>
      </c>
      <c r="C40" s="1">
        <v>360.53</v>
      </c>
      <c r="H40" t="s">
        <v>41</v>
      </c>
      <c r="I40">
        <v>95</v>
      </c>
      <c r="J40" s="1">
        <v>360.53</v>
      </c>
      <c r="K40" s="1">
        <f>MyTestData[[#This Row],[QTY]]*MyTestData[[#This Row],[Price Per Unit]]</f>
        <v>34250.35</v>
      </c>
    </row>
    <row r="41" spans="1:11" x14ac:dyDescent="0.3">
      <c r="A41" t="s">
        <v>42</v>
      </c>
      <c r="B41">
        <v>38</v>
      </c>
      <c r="C41" s="1">
        <v>683.3</v>
      </c>
      <c r="H41" t="s">
        <v>42</v>
      </c>
      <c r="I41">
        <v>38</v>
      </c>
      <c r="J41" s="1">
        <v>683.3</v>
      </c>
      <c r="K41" s="1">
        <f>MyTestData[[#This Row],[QTY]]*MyTestData[[#This Row],[Price Per Unit]]</f>
        <v>25965.399999999998</v>
      </c>
    </row>
    <row r="42" spans="1:11" x14ac:dyDescent="0.3">
      <c r="A42" t="s">
        <v>43</v>
      </c>
      <c r="B42">
        <v>96</v>
      </c>
      <c r="C42" s="1">
        <v>147.13999999999999</v>
      </c>
      <c r="H42" t="s">
        <v>43</v>
      </c>
      <c r="I42">
        <v>96</v>
      </c>
      <c r="J42" s="1">
        <v>147.13999999999999</v>
      </c>
      <c r="K42" s="1">
        <f>MyTestData[[#This Row],[QTY]]*MyTestData[[#This Row],[Price Per Unit]]</f>
        <v>14125.439999999999</v>
      </c>
    </row>
    <row r="43" spans="1:11" x14ac:dyDescent="0.3">
      <c r="A43" t="s">
        <v>44</v>
      </c>
      <c r="B43">
        <v>63</v>
      </c>
      <c r="C43" s="1">
        <v>124.14</v>
      </c>
      <c r="H43" t="s">
        <v>44</v>
      </c>
      <c r="I43">
        <v>63</v>
      </c>
      <c r="J43" s="1">
        <v>124.14</v>
      </c>
      <c r="K43" s="1">
        <f>MyTestData[[#This Row],[QTY]]*MyTestData[[#This Row],[Price Per Unit]]</f>
        <v>7820.82</v>
      </c>
    </row>
    <row r="44" spans="1:11" x14ac:dyDescent="0.3">
      <c r="A44" t="s">
        <v>45</v>
      </c>
      <c r="B44">
        <v>46</v>
      </c>
      <c r="C44" s="1">
        <v>735.47</v>
      </c>
      <c r="H44" t="s">
        <v>45</v>
      </c>
      <c r="I44">
        <v>46</v>
      </c>
      <c r="J44" s="1">
        <v>735.47</v>
      </c>
      <c r="K44" s="1">
        <f>MyTestData[[#This Row],[QTY]]*MyTestData[[#This Row],[Price Per Unit]]</f>
        <v>33831.620000000003</v>
      </c>
    </row>
    <row r="45" spans="1:11" x14ac:dyDescent="0.3">
      <c r="A45" t="s">
        <v>46</v>
      </c>
      <c r="B45">
        <v>74</v>
      </c>
      <c r="C45" s="1">
        <v>848.19</v>
      </c>
      <c r="H45" t="s">
        <v>46</v>
      </c>
      <c r="I45">
        <v>74</v>
      </c>
      <c r="J45" s="1">
        <v>848.19</v>
      </c>
      <c r="K45" s="1">
        <f>MyTestData[[#This Row],[QTY]]*MyTestData[[#This Row],[Price Per Unit]]</f>
        <v>62766.060000000005</v>
      </c>
    </row>
    <row r="46" spans="1:11" x14ac:dyDescent="0.3">
      <c r="A46" t="s">
        <v>47</v>
      </c>
      <c r="B46">
        <v>72</v>
      </c>
      <c r="C46" s="1">
        <v>248.56</v>
      </c>
      <c r="H46" t="s">
        <v>47</v>
      </c>
      <c r="I46">
        <v>72</v>
      </c>
      <c r="J46" s="1">
        <v>248.56</v>
      </c>
      <c r="K46" s="1">
        <f>MyTestData[[#This Row],[QTY]]*MyTestData[[#This Row],[Price Per Unit]]</f>
        <v>17896.32</v>
      </c>
    </row>
    <row r="47" spans="1:11" x14ac:dyDescent="0.3">
      <c r="A47" t="s">
        <v>48</v>
      </c>
      <c r="B47">
        <v>29</v>
      </c>
      <c r="C47" s="1">
        <v>406.46</v>
      </c>
      <c r="H47" t="s">
        <v>48</v>
      </c>
      <c r="I47">
        <v>29</v>
      </c>
      <c r="J47" s="1">
        <v>406.46</v>
      </c>
      <c r="K47" s="1">
        <f>MyTestData[[#This Row],[QTY]]*MyTestData[[#This Row],[Price Per Unit]]</f>
        <v>11787.34</v>
      </c>
    </row>
    <row r="48" spans="1:11" x14ac:dyDescent="0.3">
      <c r="A48" t="s">
        <v>49</v>
      </c>
      <c r="B48">
        <v>30</v>
      </c>
      <c r="C48" s="1">
        <v>394.5</v>
      </c>
      <c r="H48" t="s">
        <v>49</v>
      </c>
      <c r="I48">
        <v>30</v>
      </c>
      <c r="J48" s="1">
        <v>394.5</v>
      </c>
      <c r="K48" s="1">
        <f>MyTestData[[#This Row],[QTY]]*MyTestData[[#This Row],[Price Per Unit]]</f>
        <v>11835</v>
      </c>
    </row>
    <row r="49" spans="1:11" x14ac:dyDescent="0.3">
      <c r="A49" t="s">
        <v>50</v>
      </c>
      <c r="B49">
        <v>35</v>
      </c>
      <c r="C49" s="1">
        <v>632.76</v>
      </c>
      <c r="H49" t="s">
        <v>50</v>
      </c>
      <c r="I49">
        <v>35</v>
      </c>
      <c r="J49" s="1">
        <v>632.76</v>
      </c>
      <c r="K49" s="1">
        <f>MyTestData[[#This Row],[QTY]]*MyTestData[[#This Row],[Price Per Unit]]</f>
        <v>22146.6</v>
      </c>
    </row>
    <row r="50" spans="1:11" x14ac:dyDescent="0.3">
      <c r="A50" t="s">
        <v>51</v>
      </c>
      <c r="B50">
        <v>88</v>
      </c>
      <c r="C50" s="1">
        <v>509.96</v>
      </c>
      <c r="H50" t="s">
        <v>51</v>
      </c>
      <c r="I50">
        <v>88</v>
      </c>
      <c r="J50" s="1">
        <v>509.96</v>
      </c>
      <c r="K50" s="1">
        <f>MyTestData[[#This Row],[QTY]]*MyTestData[[#This Row],[Price Per Unit]]</f>
        <v>44876.479999999996</v>
      </c>
    </row>
    <row r="51" spans="1:11" x14ac:dyDescent="0.3">
      <c r="A51" t="s">
        <v>52</v>
      </c>
      <c r="B51">
        <v>90</v>
      </c>
      <c r="C51" s="1">
        <v>512.41</v>
      </c>
      <c r="H51" t="s">
        <v>52</v>
      </c>
      <c r="I51">
        <v>90</v>
      </c>
      <c r="J51" s="1">
        <v>512.41</v>
      </c>
      <c r="K51" s="1">
        <f>MyTestData[[#This Row],[QTY]]*MyTestData[[#This Row],[Price Per Unit]]</f>
        <v>46116.899999999994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1DC5-C4D8-4F16-A196-6B3735C610C4}">
  <dimension ref="A1:K51"/>
  <sheetViews>
    <sheetView tabSelected="1" workbookViewId="0">
      <selection activeCell="D21" sqref="D21"/>
    </sheetView>
  </sheetViews>
  <sheetFormatPr defaultRowHeight="14.4" x14ac:dyDescent="0.3"/>
  <cols>
    <col min="1" max="1" width="10.88671875" bestFit="1" customWidth="1"/>
    <col min="2" max="2" width="18.44140625" bestFit="1" customWidth="1"/>
    <col min="3" max="3" width="12.6640625" bestFit="1" customWidth="1"/>
    <col min="4" max="4" width="11.21875" bestFit="1" customWidth="1"/>
    <col min="5" max="5" width="16.6640625" bestFit="1" customWidth="1"/>
    <col min="6" max="6" width="12.88671875" bestFit="1" customWidth="1"/>
    <col min="7" max="7" width="7.88671875" bestFit="1" customWidth="1"/>
    <col min="8" max="8" width="12.109375" bestFit="1" customWidth="1"/>
    <col min="9" max="9" width="13.21875" bestFit="1" customWidth="1"/>
    <col min="10" max="10" width="12.88671875" bestFit="1" customWidth="1"/>
    <col min="11" max="11" width="15" bestFit="1" customWidth="1"/>
  </cols>
  <sheetData>
    <row r="1" spans="1:11" ht="15.6" x14ac:dyDescent="0.3">
      <c r="A1" s="12" t="s">
        <v>55</v>
      </c>
      <c r="B1" s="12" t="s">
        <v>56</v>
      </c>
      <c r="C1" s="12" t="s">
        <v>57</v>
      </c>
      <c r="D1" s="13" t="s">
        <v>58</v>
      </c>
      <c r="E1" s="12" t="s">
        <v>59</v>
      </c>
      <c r="F1" s="12" t="s">
        <v>60</v>
      </c>
      <c r="G1" s="12" t="s">
        <v>61</v>
      </c>
      <c r="H1" s="12" t="s">
        <v>62</v>
      </c>
      <c r="I1" s="12" t="s">
        <v>63</v>
      </c>
      <c r="J1" s="14" t="s">
        <v>64</v>
      </c>
      <c r="K1" s="15" t="s">
        <v>65</v>
      </c>
    </row>
    <row r="2" spans="1:11" ht="15.6" x14ac:dyDescent="0.3">
      <c r="A2" s="2" t="s">
        <v>66</v>
      </c>
      <c r="B2" s="2" t="s">
        <v>67</v>
      </c>
      <c r="C2" s="16" t="s">
        <v>68</v>
      </c>
      <c r="D2" s="3">
        <v>36718</v>
      </c>
      <c r="E2" s="16" t="s">
        <v>69</v>
      </c>
      <c r="F2" s="16" t="s">
        <v>70</v>
      </c>
      <c r="G2" s="16" t="s">
        <v>71</v>
      </c>
      <c r="H2" s="4">
        <v>2000</v>
      </c>
      <c r="I2" s="16" t="s">
        <v>72</v>
      </c>
      <c r="J2" s="5">
        <v>33324</v>
      </c>
      <c r="K2" s="17">
        <v>399888</v>
      </c>
    </row>
    <row r="3" spans="1:11" ht="15.6" x14ac:dyDescent="0.3">
      <c r="A3" s="2" t="s">
        <v>73</v>
      </c>
      <c r="B3" s="18" t="s">
        <v>74</v>
      </c>
      <c r="C3" s="18" t="s">
        <v>75</v>
      </c>
      <c r="D3" s="6">
        <v>36861</v>
      </c>
      <c r="E3" s="18" t="s">
        <v>76</v>
      </c>
      <c r="F3" s="18" t="s">
        <v>70</v>
      </c>
      <c r="G3" s="18" t="s">
        <v>71</v>
      </c>
      <c r="H3" s="19">
        <v>2000</v>
      </c>
      <c r="I3" s="18" t="s">
        <v>72</v>
      </c>
      <c r="J3" s="7">
        <v>23694</v>
      </c>
      <c r="K3" s="20">
        <v>284328</v>
      </c>
    </row>
    <row r="4" spans="1:11" ht="15.6" x14ac:dyDescent="0.3">
      <c r="A4" s="2" t="s">
        <v>77</v>
      </c>
      <c r="B4" s="2" t="s">
        <v>78</v>
      </c>
      <c r="C4" s="16" t="s">
        <v>79</v>
      </c>
      <c r="D4" s="3">
        <v>37003</v>
      </c>
      <c r="E4" s="16" t="s">
        <v>80</v>
      </c>
      <c r="F4" s="16" t="s">
        <v>81</v>
      </c>
      <c r="G4" s="16" t="s">
        <v>71</v>
      </c>
      <c r="H4" s="4">
        <v>2001</v>
      </c>
      <c r="I4" s="16" t="s">
        <v>72</v>
      </c>
      <c r="J4" s="5">
        <v>47546</v>
      </c>
      <c r="K4" s="17">
        <v>570552</v>
      </c>
    </row>
    <row r="5" spans="1:11" ht="15.6" x14ac:dyDescent="0.3">
      <c r="A5" s="2" t="s">
        <v>82</v>
      </c>
      <c r="B5" s="18" t="s">
        <v>83</v>
      </c>
      <c r="C5" s="18" t="s">
        <v>75</v>
      </c>
      <c r="D5" s="6">
        <v>37042</v>
      </c>
      <c r="E5" s="18" t="s">
        <v>84</v>
      </c>
      <c r="F5" s="18" t="s">
        <v>85</v>
      </c>
      <c r="G5" s="18" t="s">
        <v>71</v>
      </c>
      <c r="H5" s="19">
        <v>2001</v>
      </c>
      <c r="I5" s="18" t="s">
        <v>86</v>
      </c>
      <c r="J5" s="7">
        <v>18114</v>
      </c>
      <c r="K5" s="20">
        <v>217368</v>
      </c>
    </row>
    <row r="6" spans="1:11" ht="15.6" x14ac:dyDescent="0.3">
      <c r="A6" s="2" t="s">
        <v>87</v>
      </c>
      <c r="B6" s="2" t="s">
        <v>88</v>
      </c>
      <c r="C6" s="16" t="s">
        <v>89</v>
      </c>
      <c r="D6" s="3">
        <v>37482</v>
      </c>
      <c r="E6" s="16" t="s">
        <v>76</v>
      </c>
      <c r="F6" s="16" t="s">
        <v>70</v>
      </c>
      <c r="G6" s="16" t="s">
        <v>71</v>
      </c>
      <c r="H6" s="4">
        <v>2002</v>
      </c>
      <c r="I6" s="16" t="s">
        <v>90</v>
      </c>
      <c r="J6" s="5">
        <v>57487</v>
      </c>
      <c r="K6" s="17">
        <v>689844</v>
      </c>
    </row>
    <row r="7" spans="1:11" ht="15.6" x14ac:dyDescent="0.3">
      <c r="A7" s="2" t="s">
        <v>91</v>
      </c>
      <c r="B7" s="8" t="s">
        <v>92</v>
      </c>
      <c r="C7" s="18" t="s">
        <v>93</v>
      </c>
      <c r="D7" s="6">
        <v>37663</v>
      </c>
      <c r="E7" s="18" t="s">
        <v>69</v>
      </c>
      <c r="F7" s="18" t="s">
        <v>70</v>
      </c>
      <c r="G7" s="18" t="s">
        <v>71</v>
      </c>
      <c r="H7" s="9">
        <v>2003</v>
      </c>
      <c r="I7" s="18" t="s">
        <v>90</v>
      </c>
      <c r="J7" s="7">
        <v>61355</v>
      </c>
      <c r="K7" s="20">
        <v>736260</v>
      </c>
    </row>
    <row r="8" spans="1:11" ht="15.6" x14ac:dyDescent="0.3">
      <c r="A8" s="2" t="s">
        <v>94</v>
      </c>
      <c r="B8" s="16" t="s">
        <v>95</v>
      </c>
      <c r="C8" s="16" t="s">
        <v>75</v>
      </c>
      <c r="D8" s="3">
        <v>38039</v>
      </c>
      <c r="E8" s="16" t="s">
        <v>96</v>
      </c>
      <c r="F8" s="16" t="s">
        <v>85</v>
      </c>
      <c r="G8" s="16" t="s">
        <v>97</v>
      </c>
      <c r="H8" s="21">
        <v>2004</v>
      </c>
      <c r="I8" s="16" t="s">
        <v>86</v>
      </c>
      <c r="J8" s="5">
        <v>19399</v>
      </c>
      <c r="K8" s="17">
        <v>232788</v>
      </c>
    </row>
    <row r="9" spans="1:11" ht="15.6" x14ac:dyDescent="0.3">
      <c r="A9" s="2" t="s">
        <v>98</v>
      </c>
      <c r="B9" s="18" t="s">
        <v>99</v>
      </c>
      <c r="C9" s="18" t="s">
        <v>100</v>
      </c>
      <c r="D9" s="6">
        <v>38054</v>
      </c>
      <c r="E9" s="18" t="s">
        <v>101</v>
      </c>
      <c r="F9" s="18" t="s">
        <v>81</v>
      </c>
      <c r="G9" s="18" t="s">
        <v>97</v>
      </c>
      <c r="H9" s="19">
        <v>2004</v>
      </c>
      <c r="I9" s="18" t="s">
        <v>72</v>
      </c>
      <c r="J9" s="7">
        <v>19841</v>
      </c>
      <c r="K9" s="20">
        <v>238092</v>
      </c>
    </row>
    <row r="10" spans="1:11" ht="15.6" x14ac:dyDescent="0.3">
      <c r="A10" s="2" t="s">
        <v>102</v>
      </c>
      <c r="B10" s="2" t="s">
        <v>103</v>
      </c>
      <c r="C10" s="16" t="s">
        <v>79</v>
      </c>
      <c r="D10" s="3">
        <v>38096</v>
      </c>
      <c r="E10" s="16" t="s">
        <v>104</v>
      </c>
      <c r="F10" s="16" t="s">
        <v>70</v>
      </c>
      <c r="G10" s="16" t="s">
        <v>71</v>
      </c>
      <c r="H10" s="4">
        <v>2000</v>
      </c>
      <c r="I10" s="16" t="s">
        <v>86</v>
      </c>
      <c r="J10" s="5">
        <v>47778</v>
      </c>
      <c r="K10" s="17">
        <v>573336</v>
      </c>
    </row>
    <row r="11" spans="1:11" ht="15.6" x14ac:dyDescent="0.3">
      <c r="A11" s="2" t="s">
        <v>105</v>
      </c>
      <c r="B11" s="8" t="s">
        <v>106</v>
      </c>
      <c r="C11" s="18" t="s">
        <v>100</v>
      </c>
      <c r="D11" s="6">
        <v>38163</v>
      </c>
      <c r="E11" s="18" t="s">
        <v>107</v>
      </c>
      <c r="F11" s="18" t="s">
        <v>81</v>
      </c>
      <c r="G11" s="18" t="s">
        <v>71</v>
      </c>
      <c r="H11" s="9">
        <v>2000</v>
      </c>
      <c r="I11" s="18" t="s">
        <v>86</v>
      </c>
      <c r="J11" s="7">
        <v>21602</v>
      </c>
      <c r="K11" s="20">
        <v>259224</v>
      </c>
    </row>
    <row r="22" spans="1:11" ht="15.6" x14ac:dyDescent="0.3">
      <c r="A22" s="2" t="s">
        <v>108</v>
      </c>
      <c r="B22" s="16" t="s">
        <v>109</v>
      </c>
      <c r="C22" s="16" t="s">
        <v>110</v>
      </c>
      <c r="D22" s="3">
        <v>38185</v>
      </c>
      <c r="E22" s="16" t="s">
        <v>96</v>
      </c>
      <c r="F22" s="16" t="s">
        <v>85</v>
      </c>
      <c r="G22" s="16" t="s">
        <v>97</v>
      </c>
      <c r="H22" s="21">
        <v>2004</v>
      </c>
      <c r="I22" s="16" t="s">
        <v>72</v>
      </c>
      <c r="J22" s="5">
        <v>54542</v>
      </c>
      <c r="K22" s="17">
        <v>654504</v>
      </c>
    </row>
    <row r="23" spans="1:11" ht="15.6" x14ac:dyDescent="0.3">
      <c r="A23" s="2" t="s">
        <v>111</v>
      </c>
      <c r="B23" s="18" t="s">
        <v>112</v>
      </c>
      <c r="C23" s="18" t="s">
        <v>100</v>
      </c>
      <c r="D23" s="6">
        <v>38291</v>
      </c>
      <c r="E23" s="18" t="s">
        <v>84</v>
      </c>
      <c r="F23" s="18" t="s">
        <v>85</v>
      </c>
      <c r="G23" s="18" t="s">
        <v>97</v>
      </c>
      <c r="H23" s="19">
        <v>2004</v>
      </c>
      <c r="I23" s="18" t="s">
        <v>86</v>
      </c>
      <c r="J23" s="7">
        <v>19549</v>
      </c>
      <c r="K23" s="20">
        <v>234588</v>
      </c>
    </row>
    <row r="24" spans="1:11" ht="15.6" x14ac:dyDescent="0.3">
      <c r="A24" s="2" t="s">
        <v>113</v>
      </c>
      <c r="B24" s="2" t="s">
        <v>114</v>
      </c>
      <c r="C24" s="16" t="s">
        <v>110</v>
      </c>
      <c r="D24" s="3">
        <v>38417</v>
      </c>
      <c r="E24" s="16" t="s">
        <v>115</v>
      </c>
      <c r="F24" s="16" t="s">
        <v>70</v>
      </c>
      <c r="G24" s="16" t="s">
        <v>71</v>
      </c>
      <c r="H24" s="4">
        <v>2005</v>
      </c>
      <c r="I24" s="16" t="s">
        <v>72</v>
      </c>
      <c r="J24" s="5">
        <v>58821</v>
      </c>
      <c r="K24" s="17">
        <v>705852</v>
      </c>
    </row>
    <row r="25" spans="1:11" ht="15.6" x14ac:dyDescent="0.3">
      <c r="A25" s="2" t="s">
        <v>116</v>
      </c>
      <c r="B25" s="8" t="s">
        <v>117</v>
      </c>
      <c r="C25" s="18" t="s">
        <v>68</v>
      </c>
      <c r="D25" s="6">
        <v>38678</v>
      </c>
      <c r="E25" s="18" t="s">
        <v>107</v>
      </c>
      <c r="F25" s="18" t="s">
        <v>81</v>
      </c>
      <c r="G25" s="18" t="s">
        <v>71</v>
      </c>
      <c r="H25" s="9">
        <v>2005</v>
      </c>
      <c r="I25" s="18" t="s">
        <v>86</v>
      </c>
      <c r="J25" s="7">
        <v>56762</v>
      </c>
      <c r="K25" s="20">
        <v>681144</v>
      </c>
    </row>
    <row r="26" spans="1:11" ht="15.6" x14ac:dyDescent="0.3">
      <c r="A26" s="2" t="s">
        <v>118</v>
      </c>
      <c r="B26" s="2" t="s">
        <v>119</v>
      </c>
      <c r="C26" s="16" t="s">
        <v>79</v>
      </c>
      <c r="D26" s="3">
        <v>38866</v>
      </c>
      <c r="E26" s="16" t="s">
        <v>115</v>
      </c>
      <c r="F26" s="16" t="s">
        <v>70</v>
      </c>
      <c r="G26" s="16" t="s">
        <v>71</v>
      </c>
      <c r="H26" s="4">
        <v>2006</v>
      </c>
      <c r="I26" s="16" t="s">
        <v>72</v>
      </c>
      <c r="J26" s="5">
        <v>58575</v>
      </c>
      <c r="K26" s="17">
        <v>702900</v>
      </c>
    </row>
    <row r="27" spans="1:11" ht="15.6" x14ac:dyDescent="0.3">
      <c r="A27" s="2" t="s">
        <v>120</v>
      </c>
      <c r="B27" s="18" t="s">
        <v>121</v>
      </c>
      <c r="C27" s="18" t="s">
        <v>93</v>
      </c>
      <c r="D27" s="6">
        <v>38968</v>
      </c>
      <c r="E27" s="18" t="s">
        <v>96</v>
      </c>
      <c r="F27" s="18" t="s">
        <v>85</v>
      </c>
      <c r="G27" s="18" t="s">
        <v>97</v>
      </c>
      <c r="H27" s="19">
        <v>2006</v>
      </c>
      <c r="I27" s="18" t="s">
        <v>86</v>
      </c>
      <c r="J27" s="7">
        <v>41834</v>
      </c>
      <c r="K27" s="20">
        <v>502008</v>
      </c>
    </row>
    <row r="28" spans="1:11" ht="15.6" x14ac:dyDescent="0.3">
      <c r="A28" s="2" t="s">
        <v>122</v>
      </c>
      <c r="B28" s="16" t="s">
        <v>123</v>
      </c>
      <c r="C28" s="16" t="s">
        <v>100</v>
      </c>
      <c r="D28" s="3">
        <v>39075</v>
      </c>
      <c r="E28" s="16" t="s">
        <v>84</v>
      </c>
      <c r="F28" s="16" t="s">
        <v>85</v>
      </c>
      <c r="G28" s="16" t="s">
        <v>97</v>
      </c>
      <c r="H28" s="21">
        <v>2006</v>
      </c>
      <c r="I28" s="16" t="s">
        <v>90</v>
      </c>
      <c r="J28" s="5">
        <v>21970</v>
      </c>
      <c r="K28" s="17">
        <v>263640</v>
      </c>
    </row>
    <row r="29" spans="1:11" ht="15.6" x14ac:dyDescent="0.3">
      <c r="A29" s="2" t="s">
        <v>124</v>
      </c>
      <c r="B29" s="18" t="s">
        <v>125</v>
      </c>
      <c r="C29" s="18" t="s">
        <v>68</v>
      </c>
      <c r="D29" s="6">
        <v>39122</v>
      </c>
      <c r="E29" s="18" t="s">
        <v>84</v>
      </c>
      <c r="F29" s="18" t="s">
        <v>85</v>
      </c>
      <c r="G29" s="18" t="s">
        <v>97</v>
      </c>
      <c r="H29" s="19">
        <v>2007</v>
      </c>
      <c r="I29" s="18" t="s">
        <v>86</v>
      </c>
      <c r="J29" s="7">
        <v>51939</v>
      </c>
      <c r="K29" s="20">
        <v>623268</v>
      </c>
    </row>
    <row r="30" spans="1:11" ht="15.6" x14ac:dyDescent="0.3">
      <c r="A30" s="2" t="s">
        <v>126</v>
      </c>
      <c r="B30" s="16" t="s">
        <v>127</v>
      </c>
      <c r="C30" s="16" t="s">
        <v>68</v>
      </c>
      <c r="D30" s="3">
        <v>39202</v>
      </c>
      <c r="E30" s="16" t="s">
        <v>128</v>
      </c>
      <c r="F30" s="16" t="s">
        <v>85</v>
      </c>
      <c r="G30" s="16" t="s">
        <v>71</v>
      </c>
      <c r="H30" s="21">
        <v>2007</v>
      </c>
      <c r="I30" s="16" t="s">
        <v>72</v>
      </c>
      <c r="J30" s="5">
        <v>51030</v>
      </c>
      <c r="K30" s="17">
        <v>612360</v>
      </c>
    </row>
    <row r="31" spans="1:11" ht="15.6" x14ac:dyDescent="0.3">
      <c r="A31" s="2" t="s">
        <v>129</v>
      </c>
      <c r="B31" s="18" t="s">
        <v>130</v>
      </c>
      <c r="C31" s="18" t="s">
        <v>100</v>
      </c>
      <c r="D31" s="6">
        <v>39424</v>
      </c>
      <c r="E31" s="18" t="s">
        <v>128</v>
      </c>
      <c r="F31" s="18" t="s">
        <v>85</v>
      </c>
      <c r="G31" s="18" t="s">
        <v>97</v>
      </c>
      <c r="H31" s="19">
        <v>2007</v>
      </c>
      <c r="I31" s="18" t="s">
        <v>86</v>
      </c>
      <c r="J31" s="7">
        <v>19429</v>
      </c>
      <c r="K31" s="20">
        <v>233148</v>
      </c>
    </row>
    <row r="32" spans="1:11" ht="15.6" x14ac:dyDescent="0.3">
      <c r="A32" s="2" t="s">
        <v>131</v>
      </c>
      <c r="B32" s="16" t="s">
        <v>132</v>
      </c>
      <c r="C32" s="16" t="s">
        <v>110</v>
      </c>
      <c r="D32" s="3">
        <v>39450</v>
      </c>
      <c r="E32" s="16" t="s">
        <v>96</v>
      </c>
      <c r="F32" s="16" t="s">
        <v>85</v>
      </c>
      <c r="G32" s="16" t="s">
        <v>97</v>
      </c>
      <c r="H32" s="21">
        <v>2008</v>
      </c>
      <c r="I32" s="16" t="s">
        <v>86</v>
      </c>
      <c r="J32" s="5">
        <v>37815</v>
      </c>
      <c r="K32" s="17">
        <v>453780</v>
      </c>
    </row>
    <row r="33" spans="1:11" ht="15.6" x14ac:dyDescent="0.3">
      <c r="A33" s="2" t="s">
        <v>133</v>
      </c>
      <c r="B33" s="8" t="s">
        <v>134</v>
      </c>
      <c r="C33" s="18" t="s">
        <v>68</v>
      </c>
      <c r="D33" s="6">
        <v>39682</v>
      </c>
      <c r="E33" s="18" t="s">
        <v>101</v>
      </c>
      <c r="F33" s="18" t="s">
        <v>81</v>
      </c>
      <c r="G33" s="18" t="s">
        <v>71</v>
      </c>
      <c r="H33" s="9">
        <v>2008</v>
      </c>
      <c r="I33" s="18" t="s">
        <v>90</v>
      </c>
      <c r="J33" s="7">
        <v>32912</v>
      </c>
      <c r="K33" s="20">
        <v>394944</v>
      </c>
    </row>
    <row r="34" spans="1:11" ht="15.6" x14ac:dyDescent="0.3">
      <c r="A34" s="2" t="s">
        <v>135</v>
      </c>
      <c r="B34" s="16" t="s">
        <v>136</v>
      </c>
      <c r="C34" s="16" t="s">
        <v>89</v>
      </c>
      <c r="D34" s="3">
        <v>39842</v>
      </c>
      <c r="E34" s="16" t="s">
        <v>96</v>
      </c>
      <c r="F34" s="16" t="s">
        <v>85</v>
      </c>
      <c r="G34" s="16" t="s">
        <v>97</v>
      </c>
      <c r="H34" s="21">
        <v>2009</v>
      </c>
      <c r="I34" s="16" t="s">
        <v>90</v>
      </c>
      <c r="J34" s="5">
        <v>74422</v>
      </c>
      <c r="K34" s="17">
        <v>893064</v>
      </c>
    </row>
    <row r="35" spans="1:11" ht="15.6" x14ac:dyDescent="0.3">
      <c r="A35" s="2" t="s">
        <v>137</v>
      </c>
      <c r="B35" s="8" t="s">
        <v>138</v>
      </c>
      <c r="C35" s="18" t="s">
        <v>93</v>
      </c>
      <c r="D35" s="6">
        <v>39848</v>
      </c>
      <c r="E35" s="18" t="s">
        <v>115</v>
      </c>
      <c r="F35" s="18" t="s">
        <v>70</v>
      </c>
      <c r="G35" s="18" t="s">
        <v>71</v>
      </c>
      <c r="H35" s="9">
        <v>2009</v>
      </c>
      <c r="I35" s="18" t="s">
        <v>90</v>
      </c>
      <c r="J35" s="7">
        <v>58694</v>
      </c>
      <c r="K35" s="20">
        <v>704328</v>
      </c>
    </row>
    <row r="36" spans="1:11" ht="15.6" x14ac:dyDescent="0.3">
      <c r="A36" s="2" t="s">
        <v>139</v>
      </c>
      <c r="B36" s="16" t="s">
        <v>140</v>
      </c>
      <c r="C36" s="16" t="s">
        <v>89</v>
      </c>
      <c r="D36" s="3">
        <v>40223</v>
      </c>
      <c r="E36" s="16" t="s">
        <v>128</v>
      </c>
      <c r="F36" s="16" t="s">
        <v>85</v>
      </c>
      <c r="G36" s="16" t="s">
        <v>97</v>
      </c>
      <c r="H36" s="21">
        <v>2010</v>
      </c>
      <c r="I36" s="16" t="s">
        <v>86</v>
      </c>
      <c r="J36" s="5">
        <v>87889</v>
      </c>
      <c r="K36" s="17">
        <v>1054668</v>
      </c>
    </row>
    <row r="37" spans="1:11" ht="15.6" x14ac:dyDescent="0.3">
      <c r="A37" s="2" t="s">
        <v>141</v>
      </c>
      <c r="B37" s="8" t="s">
        <v>142</v>
      </c>
      <c r="C37" s="18" t="s">
        <v>79</v>
      </c>
      <c r="D37" s="6">
        <v>40531</v>
      </c>
      <c r="E37" s="18" t="s">
        <v>104</v>
      </c>
      <c r="F37" s="18" t="s">
        <v>70</v>
      </c>
      <c r="G37" s="18" t="s">
        <v>71</v>
      </c>
      <c r="H37" s="9">
        <v>2010</v>
      </c>
      <c r="I37" s="18" t="s">
        <v>72</v>
      </c>
      <c r="J37" s="7">
        <v>58136</v>
      </c>
      <c r="K37" s="20">
        <v>697632</v>
      </c>
    </row>
    <row r="38" spans="1:11" ht="15.6" x14ac:dyDescent="0.3">
      <c r="A38" s="2" t="s">
        <v>143</v>
      </c>
      <c r="B38" s="16" t="s">
        <v>144</v>
      </c>
      <c r="C38" s="16" t="s">
        <v>100</v>
      </c>
      <c r="D38" s="3">
        <v>40618</v>
      </c>
      <c r="E38" s="16" t="s">
        <v>145</v>
      </c>
      <c r="F38" s="16" t="s">
        <v>146</v>
      </c>
      <c r="G38" s="16" t="s">
        <v>97</v>
      </c>
      <c r="H38" s="21">
        <v>2011</v>
      </c>
      <c r="I38" s="16" t="s">
        <v>90</v>
      </c>
      <c r="J38" s="5">
        <v>21265</v>
      </c>
      <c r="K38" s="17">
        <v>255180</v>
      </c>
    </row>
    <row r="39" spans="1:11" ht="15.6" x14ac:dyDescent="0.3">
      <c r="A39" s="2" t="s">
        <v>147</v>
      </c>
      <c r="B39" s="8" t="s">
        <v>148</v>
      </c>
      <c r="C39" s="18" t="s">
        <v>110</v>
      </c>
      <c r="D39" s="6">
        <v>40776</v>
      </c>
      <c r="E39" s="18" t="s">
        <v>115</v>
      </c>
      <c r="F39" s="18" t="s">
        <v>70</v>
      </c>
      <c r="G39" s="18" t="s">
        <v>71</v>
      </c>
      <c r="H39" s="9">
        <v>2011</v>
      </c>
      <c r="I39" s="18" t="s">
        <v>86</v>
      </c>
      <c r="J39" s="7">
        <v>59751</v>
      </c>
      <c r="K39" s="20">
        <v>717012</v>
      </c>
    </row>
    <row r="40" spans="1:11" ht="15.6" x14ac:dyDescent="0.3">
      <c r="A40" s="2" t="s">
        <v>149</v>
      </c>
      <c r="B40" s="2" t="s">
        <v>150</v>
      </c>
      <c r="C40" s="16" t="s">
        <v>93</v>
      </c>
      <c r="D40" s="3">
        <v>41234</v>
      </c>
      <c r="E40" s="16" t="s">
        <v>104</v>
      </c>
      <c r="F40" s="16" t="s">
        <v>70</v>
      </c>
      <c r="G40" s="16" t="s">
        <v>71</v>
      </c>
      <c r="H40" s="4">
        <v>2012</v>
      </c>
      <c r="I40" s="16" t="s">
        <v>86</v>
      </c>
      <c r="J40" s="5">
        <v>39823</v>
      </c>
      <c r="K40" s="17">
        <v>477876</v>
      </c>
    </row>
    <row r="41" spans="1:11" ht="15.6" x14ac:dyDescent="0.3">
      <c r="A41" s="2" t="s">
        <v>151</v>
      </c>
      <c r="B41" s="8" t="s">
        <v>152</v>
      </c>
      <c r="C41" s="18" t="s">
        <v>100</v>
      </c>
      <c r="D41" s="6">
        <v>41364</v>
      </c>
      <c r="E41" s="18" t="s">
        <v>69</v>
      </c>
      <c r="F41" s="18" t="s">
        <v>70</v>
      </c>
      <c r="G41" s="18" t="s">
        <v>71</v>
      </c>
      <c r="H41" s="9">
        <v>2013</v>
      </c>
      <c r="I41" s="18" t="s">
        <v>86</v>
      </c>
      <c r="J41" s="7">
        <v>18786</v>
      </c>
      <c r="K41" s="20">
        <v>225432</v>
      </c>
    </row>
    <row r="42" spans="1:11" ht="15.6" x14ac:dyDescent="0.3">
      <c r="A42" s="2" t="s">
        <v>153</v>
      </c>
      <c r="B42" s="16" t="s">
        <v>154</v>
      </c>
      <c r="C42" s="16" t="s">
        <v>110</v>
      </c>
      <c r="D42" s="3">
        <v>41415</v>
      </c>
      <c r="E42" s="16" t="s">
        <v>96</v>
      </c>
      <c r="F42" s="16" t="s">
        <v>85</v>
      </c>
      <c r="G42" s="16" t="s">
        <v>97</v>
      </c>
      <c r="H42" s="21">
        <v>2013</v>
      </c>
      <c r="I42" s="16" t="s">
        <v>86</v>
      </c>
      <c r="J42" s="5">
        <v>53621</v>
      </c>
      <c r="K42" s="17">
        <v>643452</v>
      </c>
    </row>
    <row r="43" spans="1:11" ht="15.6" x14ac:dyDescent="0.3">
      <c r="A43" s="2" t="s">
        <v>155</v>
      </c>
      <c r="B43" s="18" t="s">
        <v>156</v>
      </c>
      <c r="C43" s="18" t="s">
        <v>68</v>
      </c>
      <c r="D43" s="6">
        <v>41432</v>
      </c>
      <c r="E43" s="18" t="s">
        <v>128</v>
      </c>
      <c r="F43" s="18" t="s">
        <v>85</v>
      </c>
      <c r="G43" s="18" t="s">
        <v>97</v>
      </c>
      <c r="H43" s="19">
        <v>2013</v>
      </c>
      <c r="I43" s="18" t="s">
        <v>90</v>
      </c>
      <c r="J43" s="7">
        <v>52025</v>
      </c>
      <c r="K43" s="20">
        <v>624300</v>
      </c>
    </row>
    <row r="44" spans="1:11" ht="15.6" x14ac:dyDescent="0.3">
      <c r="A44" s="2" t="s">
        <v>157</v>
      </c>
      <c r="B44" s="2" t="s">
        <v>158</v>
      </c>
      <c r="C44" s="16" t="s">
        <v>79</v>
      </c>
      <c r="D44" s="3">
        <v>41463</v>
      </c>
      <c r="E44" s="16" t="s">
        <v>115</v>
      </c>
      <c r="F44" s="16" t="s">
        <v>70</v>
      </c>
      <c r="G44" s="16" t="s">
        <v>71</v>
      </c>
      <c r="H44" s="4">
        <v>2013</v>
      </c>
      <c r="I44" s="16" t="s">
        <v>86</v>
      </c>
      <c r="J44" s="5">
        <v>55708</v>
      </c>
      <c r="K44" s="17">
        <v>668496</v>
      </c>
    </row>
    <row r="45" spans="1:11" ht="15.6" x14ac:dyDescent="0.3">
      <c r="A45" s="2" t="s">
        <v>159</v>
      </c>
      <c r="B45" s="18" t="s">
        <v>160</v>
      </c>
      <c r="C45" s="18" t="s">
        <v>89</v>
      </c>
      <c r="D45" s="6">
        <v>41768</v>
      </c>
      <c r="E45" s="18" t="s">
        <v>84</v>
      </c>
      <c r="F45" s="18" t="s">
        <v>85</v>
      </c>
      <c r="G45" s="18" t="s">
        <v>97</v>
      </c>
      <c r="H45" s="19">
        <v>2014</v>
      </c>
      <c r="I45" s="18" t="s">
        <v>86</v>
      </c>
      <c r="J45" s="7">
        <v>75883</v>
      </c>
      <c r="K45" s="20">
        <v>910596</v>
      </c>
    </row>
    <row r="46" spans="1:11" ht="15.6" x14ac:dyDescent="0.3">
      <c r="A46" s="2" t="s">
        <v>161</v>
      </c>
      <c r="B46" s="16" t="s">
        <v>162</v>
      </c>
      <c r="C46" s="16" t="s">
        <v>89</v>
      </c>
      <c r="D46" s="3">
        <v>42046</v>
      </c>
      <c r="E46" s="16" t="s">
        <v>84</v>
      </c>
      <c r="F46" s="16" t="s">
        <v>85</v>
      </c>
      <c r="G46" s="16" t="s">
        <v>97</v>
      </c>
      <c r="H46" s="21">
        <v>2015</v>
      </c>
      <c r="I46" s="16" t="s">
        <v>86</v>
      </c>
      <c r="J46" s="5">
        <v>63548</v>
      </c>
      <c r="K46" s="17">
        <v>762576</v>
      </c>
    </row>
    <row r="47" spans="1:11" ht="15.6" x14ac:dyDescent="0.3">
      <c r="A47" s="2" t="s">
        <v>163</v>
      </c>
      <c r="B47" s="18" t="s">
        <v>164</v>
      </c>
      <c r="C47" s="18" t="s">
        <v>79</v>
      </c>
      <c r="D47" s="6">
        <v>42248</v>
      </c>
      <c r="E47" s="18" t="s">
        <v>96</v>
      </c>
      <c r="F47" s="18" t="s">
        <v>85</v>
      </c>
      <c r="G47" s="18" t="s">
        <v>97</v>
      </c>
      <c r="H47" s="19">
        <v>2015</v>
      </c>
      <c r="I47" s="18" t="s">
        <v>86</v>
      </c>
      <c r="J47" s="7">
        <v>44559</v>
      </c>
      <c r="K47" s="20">
        <v>534708</v>
      </c>
    </row>
    <row r="48" spans="1:11" ht="15.6" x14ac:dyDescent="0.3">
      <c r="A48" s="2" t="s">
        <v>165</v>
      </c>
      <c r="B48" s="16" t="s">
        <v>166</v>
      </c>
      <c r="C48" s="16" t="s">
        <v>75</v>
      </c>
      <c r="D48" s="3">
        <v>42261</v>
      </c>
      <c r="E48" s="16" t="s">
        <v>145</v>
      </c>
      <c r="F48" s="16" t="s">
        <v>146</v>
      </c>
      <c r="G48" s="16" t="s">
        <v>97</v>
      </c>
      <c r="H48" s="21">
        <v>2015</v>
      </c>
      <c r="I48" s="16" t="s">
        <v>86</v>
      </c>
      <c r="J48" s="5">
        <v>17212</v>
      </c>
      <c r="K48" s="17">
        <v>206544</v>
      </c>
    </row>
    <row r="49" spans="1:11" ht="15.6" x14ac:dyDescent="0.3">
      <c r="A49" s="2" t="s">
        <v>167</v>
      </c>
      <c r="B49" s="18" t="s">
        <v>168</v>
      </c>
      <c r="C49" s="18" t="s">
        <v>79</v>
      </c>
      <c r="D49" s="6">
        <v>42267</v>
      </c>
      <c r="E49" s="18" t="s">
        <v>96</v>
      </c>
      <c r="F49" s="18" t="s">
        <v>85</v>
      </c>
      <c r="G49" s="18" t="s">
        <v>97</v>
      </c>
      <c r="H49" s="19">
        <v>2015</v>
      </c>
      <c r="I49" s="18" t="s">
        <v>86</v>
      </c>
      <c r="J49" s="7">
        <v>57994</v>
      </c>
      <c r="K49" s="20">
        <v>695928</v>
      </c>
    </row>
    <row r="50" spans="1:11" ht="15.6" x14ac:dyDescent="0.3">
      <c r="A50" s="2" t="s">
        <v>169</v>
      </c>
      <c r="B50" s="16" t="s">
        <v>170</v>
      </c>
      <c r="C50" s="16" t="s">
        <v>89</v>
      </c>
      <c r="D50" s="3">
        <v>42609</v>
      </c>
      <c r="E50" s="16" t="s">
        <v>107</v>
      </c>
      <c r="F50" s="16" t="s">
        <v>81</v>
      </c>
      <c r="G50" s="16" t="s">
        <v>97</v>
      </c>
      <c r="H50" s="21">
        <v>2016</v>
      </c>
      <c r="I50" s="16" t="s">
        <v>72</v>
      </c>
      <c r="J50" s="5">
        <v>62120</v>
      </c>
      <c r="K50" s="17">
        <v>745440</v>
      </c>
    </row>
    <row r="51" spans="1:11" ht="16.2" thickBot="1" x14ac:dyDescent="0.35">
      <c r="A51" s="22" t="s">
        <v>171</v>
      </c>
      <c r="B51" s="23" t="s">
        <v>172</v>
      </c>
      <c r="C51" s="23" t="s">
        <v>68</v>
      </c>
      <c r="D51" s="10">
        <v>42720</v>
      </c>
      <c r="E51" s="23" t="s">
        <v>96</v>
      </c>
      <c r="F51" s="23" t="s">
        <v>85</v>
      </c>
      <c r="G51" s="23" t="s">
        <v>97</v>
      </c>
      <c r="H51" s="24">
        <v>2016</v>
      </c>
      <c r="I51" s="23" t="s">
        <v>86</v>
      </c>
      <c r="J51" s="11">
        <v>54778</v>
      </c>
      <c r="K51" s="25">
        <v>657336</v>
      </c>
    </row>
  </sheetData>
  <protectedRanges>
    <protectedRange sqref="H2:H35" name="Range1"/>
  </protectedRanges>
  <conditionalFormatting sqref="H2:H11 H22:H35">
    <cfRule type="expression" dxfId="0" priority="1">
      <formula>$H2=#REF!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Emp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Avinash Jain</cp:lastModifiedBy>
  <dcterms:created xsi:type="dcterms:W3CDTF">2024-10-13T12:11:29Z</dcterms:created>
  <dcterms:modified xsi:type="dcterms:W3CDTF">2024-10-13T12:18:18Z</dcterms:modified>
</cp:coreProperties>
</file>